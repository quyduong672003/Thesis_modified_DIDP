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Code\0_Thesis_implementation\2_DIDP_custom_search_guidance_local\Thesis_modified_DIDP\8_Result_aggregation\"/>
    </mc:Choice>
  </mc:AlternateContent>
  <xr:revisionPtr revIDLastSave="0" documentId="13_ncr:1_{D8FEFD48-7C58-46EC-A8D4-CB9D1ED10C7F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Modeling improvement" sheetId="2" r:id="rId1"/>
    <sheet name="Search heuristic improvem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2" l="1"/>
  <c r="N19" i="2"/>
  <c r="N18" i="2"/>
  <c r="M18" i="2"/>
  <c r="N17" i="2"/>
  <c r="M17" i="2"/>
  <c r="M3" i="2"/>
  <c r="N5" i="2"/>
  <c r="N4" i="2"/>
  <c r="M5" i="2"/>
  <c r="M4" i="2"/>
  <c r="N3" i="2"/>
</calcChain>
</file>

<file path=xl/sharedStrings.xml><?xml version="1.0" encoding="utf-8"?>
<sst xmlns="http://schemas.openxmlformats.org/spreadsheetml/2006/main" count="111" uniqueCount="54">
  <si>
    <t>Number of Instances</t>
  </si>
  <si>
    <t>n = 20</t>
  </si>
  <si>
    <t>n = 50</t>
  </si>
  <si>
    <t>CABS with EA Dual Bound</t>
  </si>
  <si>
    <t>Average Optimality Gap (%)</t>
  </si>
  <si>
    <t>Average Time (s)</t>
  </si>
  <si>
    <t>Optimality</t>
  </si>
  <si>
    <t>CABS with Single Dual Bound</t>
  </si>
  <si>
    <t>TSP</t>
  </si>
  <si>
    <t>TSPTW</t>
  </si>
  <si>
    <t>Average Expanded Nodes</t>
  </si>
  <si>
    <t>n &lt; 100</t>
  </si>
  <si>
    <t>n &gt;= 100</t>
  </si>
  <si>
    <t>CVRP</t>
  </si>
  <si>
    <t>CVRPTW</t>
  </si>
  <si>
    <t>n = 100</t>
  </si>
  <si>
    <t>n = 200</t>
  </si>
  <si>
    <t>JSP</t>
  </si>
  <si>
    <t>op &lt;= 150</t>
  </si>
  <si>
    <t>op &gt; 150</t>
  </si>
  <si>
    <t>Instance type</t>
  </si>
  <si>
    <t>Instance</t>
  </si>
  <si>
    <t>Best Known Solution</t>
  </si>
  <si>
    <t>C104.txt</t>
  </si>
  <si>
    <t>C1_2_10.TXT</t>
  </si>
  <si>
    <t>C201.txt</t>
  </si>
  <si>
    <t>C2_2_10.TXT</t>
  </si>
  <si>
    <t>R104.txt</t>
  </si>
  <si>
    <t>R1_2_10.TXT</t>
  </si>
  <si>
    <t>R203.txt</t>
  </si>
  <si>
    <t>R2_2_10.TXT</t>
  </si>
  <si>
    <t>RC104.txt</t>
  </si>
  <si>
    <t>RC2_2_10.TXT</t>
  </si>
  <si>
    <t>CVRPTW-1T</t>
  </si>
  <si>
    <t>Solution</t>
  </si>
  <si>
    <t>Optimality Gap</t>
  </si>
  <si>
    <t>Time (s)</t>
  </si>
  <si>
    <t>Expanded Nodes</t>
  </si>
  <si>
    <t>CVRPTW-2T</t>
  </si>
  <si>
    <t>Model</t>
  </si>
  <si>
    <t>Smallest Gap (%)</t>
  </si>
  <si>
    <t>Largest Gap (%)</t>
  </si>
  <si>
    <t>abz5.txt</t>
  </si>
  <si>
    <t>ft06.txt</t>
  </si>
  <si>
    <t>ft10.txt</t>
  </si>
  <si>
    <t>ft20.txt</t>
  </si>
  <si>
    <t>la07.txt</t>
  </si>
  <si>
    <t>la21.txt</t>
  </si>
  <si>
    <t>la26.txt</t>
  </si>
  <si>
    <t>ta01.txt</t>
  </si>
  <si>
    <t>ta20.txt</t>
  </si>
  <si>
    <t>ta41.txt</t>
  </si>
  <si>
    <t>JSP-1T</t>
  </si>
  <si>
    <t>JSP-2T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</si>
</sst>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 vertical="center"/>
    </xf>
    <xf numFmtId="9" fontId="2" fillId="0" borderId="3" xfId="2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0" fontId="2" fillId="0" borderId="1" xfId="2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DE43C7FA-479C-4FEA-BF1B-464491CA46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7F15-6ED9-4615-98BA-1F11CAFC863D}">
  <dimension ref="A1:N26"/>
  <sheetViews>
    <sheetView topLeftCell="I1" zoomScaleNormal="100" workbookViewId="0">
      <selection activeCell="L16" sqref="L16:N21"/>
    </sheetView>
  </sheetViews>
  <sheetFormatPr defaultRowHeight="13.8" x14ac:dyDescent="0.25"/>
  <cols>
    <col min="1" max="1" width="25.59765625" style="1" bestFit="1" customWidth="1"/>
    <col min="2" max="2" width="19.3984375" style="1" bestFit="1" customWidth="1"/>
    <col min="3" max="3" width="9.09765625" style="1" bestFit="1" customWidth="1"/>
    <col min="4" max="4" width="14" style="1" bestFit="1" customWidth="1"/>
    <col min="5" max="5" width="9.09765625" style="1" bestFit="1" customWidth="1"/>
    <col min="6" max="6" width="15.8984375" style="1" bestFit="1" customWidth="1"/>
    <col min="7" max="7" width="9.09765625" style="1" bestFit="1" customWidth="1"/>
    <col min="8" max="8" width="14" style="1" bestFit="1" customWidth="1"/>
    <col min="9" max="9" width="9.09765625" style="1" bestFit="1" customWidth="1"/>
    <col min="10" max="10" width="15.8984375" style="1" bestFit="1" customWidth="1"/>
    <col min="11" max="11" width="8.796875" style="1"/>
    <col min="12" max="12" width="25.59765625" style="1" bestFit="1" customWidth="1"/>
    <col min="13" max="13" width="12" style="1" bestFit="1" customWidth="1"/>
    <col min="14" max="14" width="12.59765625" style="1" bestFit="1" customWidth="1"/>
    <col min="15" max="16384" width="8.796875" style="1"/>
  </cols>
  <sheetData>
    <row r="1" spans="1:14" x14ac:dyDescent="0.25">
      <c r="C1" s="2" t="s">
        <v>33</v>
      </c>
      <c r="D1" s="2"/>
      <c r="E1" s="2"/>
      <c r="F1" s="2"/>
      <c r="G1" s="22" t="s">
        <v>38</v>
      </c>
      <c r="H1" s="22"/>
      <c r="I1" s="22"/>
      <c r="J1" s="22"/>
    </row>
    <row r="2" spans="1:14" s="29" customFormat="1" x14ac:dyDescent="0.25">
      <c r="A2" s="23" t="s">
        <v>21</v>
      </c>
      <c r="B2" s="24" t="s">
        <v>22</v>
      </c>
      <c r="C2" s="25" t="s">
        <v>34</v>
      </c>
      <c r="D2" s="25" t="s">
        <v>35</v>
      </c>
      <c r="E2" s="25" t="s">
        <v>36</v>
      </c>
      <c r="F2" s="25" t="s">
        <v>37</v>
      </c>
      <c r="G2" s="28" t="s">
        <v>34</v>
      </c>
      <c r="H2" s="25" t="s">
        <v>35</v>
      </c>
      <c r="I2" s="25" t="s">
        <v>36</v>
      </c>
      <c r="J2" s="25" t="s">
        <v>37</v>
      </c>
      <c r="L2" s="23" t="s">
        <v>39</v>
      </c>
      <c r="M2" s="25" t="s">
        <v>33</v>
      </c>
      <c r="N2" s="25" t="s">
        <v>38</v>
      </c>
    </row>
    <row r="3" spans="1:14" x14ac:dyDescent="0.25">
      <c r="A3" s="17" t="s">
        <v>23</v>
      </c>
      <c r="B3" s="10">
        <v>822.9</v>
      </c>
      <c r="C3" s="10">
        <v>1444.748580292639</v>
      </c>
      <c r="D3" s="26">
        <v>0.7556794024700918</v>
      </c>
      <c r="E3" s="10">
        <v>1800.5971479415889</v>
      </c>
      <c r="F3" s="12">
        <v>61889</v>
      </c>
      <c r="G3" s="10">
        <v>1250.828147920118</v>
      </c>
      <c r="H3" s="26">
        <v>0.52002448404437751</v>
      </c>
      <c r="I3" s="10">
        <v>1800.0712606906891</v>
      </c>
      <c r="J3" s="12">
        <v>1945405</v>
      </c>
      <c r="L3" s="23" t="s">
        <v>4</v>
      </c>
      <c r="M3" s="27">
        <f>AVERAGE(D3:D12)</f>
        <v>0.73072265860006369</v>
      </c>
      <c r="N3" s="19">
        <f>AVERAGE(H3:H12)</f>
        <v>0.55655409538691347</v>
      </c>
    </row>
    <row r="4" spans="1:14" x14ac:dyDescent="0.25">
      <c r="A4" s="17" t="s">
        <v>24</v>
      </c>
      <c r="B4" s="10">
        <v>2643.51</v>
      </c>
      <c r="C4" s="10">
        <v>4513.5107968426564</v>
      </c>
      <c r="D4" s="26">
        <v>0.70739312385527431</v>
      </c>
      <c r="E4" s="10">
        <v>1800.3130640983579</v>
      </c>
      <c r="F4" s="12">
        <v>9108</v>
      </c>
      <c r="G4" s="10">
        <v>4134.0476534395711</v>
      </c>
      <c r="H4" s="26">
        <v>0.56384793454141302</v>
      </c>
      <c r="I4" s="10">
        <v>1800.0514636039729</v>
      </c>
      <c r="J4" s="12">
        <v>552303</v>
      </c>
      <c r="L4" s="23" t="s">
        <v>40</v>
      </c>
      <c r="M4" s="19">
        <f>MIN(D3:D12)</f>
        <v>0.52922172644047993</v>
      </c>
      <c r="N4" s="19">
        <f>MIN(H3:H12)</f>
        <v>0.39522439951390437</v>
      </c>
    </row>
    <row r="5" spans="1:14" x14ac:dyDescent="0.25">
      <c r="A5" s="17" t="s">
        <v>25</v>
      </c>
      <c r="B5" s="10">
        <v>589.1</v>
      </c>
      <c r="C5" s="10">
        <v>1569.30740827354</v>
      </c>
      <c r="D5" s="26">
        <v>1.6639066512876242</v>
      </c>
      <c r="E5" s="10">
        <v>1800.1668999195099</v>
      </c>
      <c r="F5" s="12">
        <v>65597</v>
      </c>
      <c r="G5" s="10">
        <v>1058.139558964747</v>
      </c>
      <c r="H5" s="26">
        <v>0.79619684088397125</v>
      </c>
      <c r="I5" s="10">
        <v>1800.1306552886961</v>
      </c>
      <c r="J5" s="12">
        <v>2063258</v>
      </c>
      <c r="L5" s="23" t="s">
        <v>41</v>
      </c>
      <c r="M5" s="19">
        <f>MAX(D3:D12)</f>
        <v>1.6639066512876242</v>
      </c>
      <c r="N5" s="19">
        <f>MAX(H3:H12)</f>
        <v>0.79619684088397125</v>
      </c>
    </row>
    <row r="6" spans="1:14" x14ac:dyDescent="0.25">
      <c r="A6" s="17" t="s">
        <v>26</v>
      </c>
      <c r="B6" s="10">
        <v>1806.58</v>
      </c>
      <c r="C6" s="10">
        <v>2990.8568567756861</v>
      </c>
      <c r="D6" s="26">
        <v>0.65553524160329801</v>
      </c>
      <c r="E6" s="10">
        <v>1800.403642892838</v>
      </c>
      <c r="F6" s="12">
        <v>9240</v>
      </c>
      <c r="G6" s="10">
        <v>3127.9463256931599</v>
      </c>
      <c r="H6" s="26">
        <v>0.7314186616109779</v>
      </c>
      <c r="I6" s="10">
        <v>1800.0791480541229</v>
      </c>
      <c r="J6" s="12">
        <v>565239</v>
      </c>
      <c r="L6" s="23" t="s">
        <v>5</v>
      </c>
      <c r="M6" s="20">
        <v>1800.351001310348</v>
      </c>
      <c r="N6" s="20">
        <v>1800.0747988462449</v>
      </c>
    </row>
    <row r="7" spans="1:14" x14ac:dyDescent="0.25">
      <c r="A7" s="17" t="s">
        <v>27</v>
      </c>
      <c r="B7" s="10">
        <v>971.5</v>
      </c>
      <c r="C7" s="10">
        <v>1531.800508555229</v>
      </c>
      <c r="D7" s="26">
        <v>0.57673752810625711</v>
      </c>
      <c r="E7" s="10">
        <v>1800.139449596405</v>
      </c>
      <c r="F7" s="12">
        <v>71240</v>
      </c>
      <c r="G7" s="10">
        <v>1378.715554826485</v>
      </c>
      <c r="H7" s="26">
        <v>0.41916166219916107</v>
      </c>
      <c r="I7" s="10">
        <v>1800.1059250831599</v>
      </c>
      <c r="J7" s="12">
        <v>2108119</v>
      </c>
      <c r="L7" s="23" t="s">
        <v>10</v>
      </c>
      <c r="M7" s="21">
        <v>37262</v>
      </c>
      <c r="N7" s="21">
        <v>1335447</v>
      </c>
    </row>
    <row r="8" spans="1:14" x14ac:dyDescent="0.25">
      <c r="A8" s="17" t="s">
        <v>28</v>
      </c>
      <c r="B8" s="10">
        <v>3301.18</v>
      </c>
      <c r="C8" s="10">
        <v>5110.4784461782283</v>
      </c>
      <c r="D8" s="26">
        <v>0.54807627762746303</v>
      </c>
      <c r="E8" s="10">
        <v>1800.5345425605769</v>
      </c>
      <c r="F8" s="12">
        <v>9223</v>
      </c>
      <c r="G8" s="10">
        <v>4968.727702117405</v>
      </c>
      <c r="H8" s="26">
        <v>0.50513686079444486</v>
      </c>
      <c r="I8" s="10">
        <v>1800.0423812866211</v>
      </c>
      <c r="J8" s="12">
        <v>612393</v>
      </c>
    </row>
    <row r="9" spans="1:14" x14ac:dyDescent="0.25">
      <c r="A9" s="17" t="s">
        <v>29</v>
      </c>
      <c r="B9" s="10">
        <v>870.8</v>
      </c>
      <c r="C9" s="10">
        <v>1467.531152575147</v>
      </c>
      <c r="D9" s="26">
        <v>0.68526774526314516</v>
      </c>
      <c r="E9" s="10">
        <v>1800.1099352836609</v>
      </c>
      <c r="F9" s="12">
        <v>61568</v>
      </c>
      <c r="G9" s="10">
        <v>1357.8773058834879</v>
      </c>
      <c r="H9" s="26">
        <v>0.5593446323880199</v>
      </c>
      <c r="I9" s="10">
        <v>1800.112982988358</v>
      </c>
      <c r="J9" s="12">
        <v>2018350</v>
      </c>
    </row>
    <row r="10" spans="1:14" x14ac:dyDescent="0.25">
      <c r="A10" s="17" t="s">
        <v>30</v>
      </c>
      <c r="B10" s="10">
        <v>2654.97</v>
      </c>
      <c r="C10" s="10">
        <v>4353.7665834280087</v>
      </c>
      <c r="D10" s="26">
        <v>0.63985528402505831</v>
      </c>
      <c r="E10" s="10">
        <v>1800.4390780925751</v>
      </c>
      <c r="F10" s="12">
        <v>8743</v>
      </c>
      <c r="G10" s="10">
        <v>3996.3607455315259</v>
      </c>
      <c r="H10" s="26">
        <v>0.50523762812066675</v>
      </c>
      <c r="I10" s="10">
        <v>1800.034790992737</v>
      </c>
      <c r="J10" s="12">
        <v>762180</v>
      </c>
    </row>
    <row r="11" spans="1:14" x14ac:dyDescent="0.25">
      <c r="A11" s="17" t="s">
        <v>31</v>
      </c>
      <c r="B11" s="10">
        <v>1132.3</v>
      </c>
      <c r="C11" s="10">
        <v>1731.5377608485551</v>
      </c>
      <c r="D11" s="26">
        <v>0.52922172644047993</v>
      </c>
      <c r="E11" s="10">
        <v>1800.144758939743</v>
      </c>
      <c r="F11" s="12">
        <v>67502</v>
      </c>
      <c r="G11" s="10">
        <v>1579.8125875695939</v>
      </c>
      <c r="H11" s="26">
        <v>0.39522439951390437</v>
      </c>
      <c r="I11" s="10">
        <v>1800.0862913131709</v>
      </c>
      <c r="J11" s="12">
        <v>1983120</v>
      </c>
    </row>
    <row r="12" spans="1:14" x14ac:dyDescent="0.25">
      <c r="A12" s="17" t="s">
        <v>32</v>
      </c>
      <c r="B12" s="10">
        <v>2015.6</v>
      </c>
      <c r="C12" s="10">
        <v>3115.217846886912</v>
      </c>
      <c r="D12" s="26">
        <v>0.54555360532194463</v>
      </c>
      <c r="E12" s="10">
        <v>1800.661493778229</v>
      </c>
      <c r="F12" s="12">
        <v>8512</v>
      </c>
      <c r="G12" s="10">
        <v>3164.3868860008438</v>
      </c>
      <c r="H12" s="26">
        <v>0.56994784977219881</v>
      </c>
      <c r="I12" s="10">
        <v>1800.033089160919</v>
      </c>
      <c r="J12" s="12">
        <v>744101</v>
      </c>
    </row>
    <row r="15" spans="1:14" x14ac:dyDescent="0.25">
      <c r="A15" s="5"/>
      <c r="B15" s="5"/>
      <c r="C15" s="3" t="s">
        <v>52</v>
      </c>
      <c r="D15" s="3"/>
      <c r="E15" s="3"/>
      <c r="F15" s="3"/>
      <c r="G15" s="3" t="s">
        <v>53</v>
      </c>
      <c r="H15" s="3"/>
      <c r="I15" s="3"/>
      <c r="J15" s="3"/>
    </row>
    <row r="16" spans="1:14" x14ac:dyDescent="0.25">
      <c r="A16" s="30" t="s">
        <v>21</v>
      </c>
      <c r="B16" s="30" t="s">
        <v>22</v>
      </c>
      <c r="C16" s="30" t="s">
        <v>34</v>
      </c>
      <c r="D16" s="30" t="s">
        <v>35</v>
      </c>
      <c r="E16" s="30" t="s">
        <v>36</v>
      </c>
      <c r="F16" s="30" t="s">
        <v>37</v>
      </c>
      <c r="G16" s="30" t="s">
        <v>34</v>
      </c>
      <c r="H16" s="30" t="s">
        <v>35</v>
      </c>
      <c r="I16" s="30" t="s">
        <v>36</v>
      </c>
      <c r="J16" s="30" t="s">
        <v>37</v>
      </c>
      <c r="L16" s="23" t="s">
        <v>39</v>
      </c>
      <c r="M16" s="25" t="s">
        <v>52</v>
      </c>
      <c r="N16" s="25" t="s">
        <v>53</v>
      </c>
    </row>
    <row r="17" spans="1:14" x14ac:dyDescent="0.25">
      <c r="A17" s="5" t="s">
        <v>42</v>
      </c>
      <c r="B17" s="10">
        <v>1234</v>
      </c>
      <c r="C17" s="10">
        <v>1288</v>
      </c>
      <c r="D17" s="26">
        <v>4.3760129659643446E-2</v>
      </c>
      <c r="E17" s="10">
        <v>1800.123407125473</v>
      </c>
      <c r="F17" s="12">
        <v>3124386</v>
      </c>
      <c r="G17" s="10">
        <v>1353</v>
      </c>
      <c r="H17" s="26">
        <v>9.6434359805510544E-2</v>
      </c>
      <c r="I17" s="10">
        <v>1800.0663697719569</v>
      </c>
      <c r="J17" s="12">
        <v>6492828</v>
      </c>
      <c r="L17" s="23" t="s">
        <v>4</v>
      </c>
      <c r="M17" s="27">
        <f>AVERAGE(D17:D26)</f>
        <v>0.22189141776186258</v>
      </c>
      <c r="N17" s="19">
        <f>AVERAGE(H17:H26)</f>
        <v>0.2422622301735152</v>
      </c>
    </row>
    <row r="18" spans="1:14" x14ac:dyDescent="0.25">
      <c r="A18" s="5" t="s">
        <v>43</v>
      </c>
      <c r="B18" s="10">
        <v>55</v>
      </c>
      <c r="C18" s="10">
        <v>55</v>
      </c>
      <c r="D18" s="26">
        <v>0</v>
      </c>
      <c r="E18" s="10">
        <v>331.00090670585632</v>
      </c>
      <c r="F18" s="12">
        <v>1081177</v>
      </c>
      <c r="G18" s="10">
        <v>55</v>
      </c>
      <c r="H18" s="26">
        <v>0</v>
      </c>
      <c r="I18" s="10">
        <v>1800.1325407028201</v>
      </c>
      <c r="J18" s="12">
        <v>14529400</v>
      </c>
      <c r="L18" s="23" t="s">
        <v>40</v>
      </c>
      <c r="M18" s="19">
        <f>MIN(D17:D26)</f>
        <v>0</v>
      </c>
      <c r="N18" s="19">
        <f>MIN(H17:H26)</f>
        <v>0</v>
      </c>
    </row>
    <row r="19" spans="1:14" x14ac:dyDescent="0.25">
      <c r="A19" s="5" t="s">
        <v>44</v>
      </c>
      <c r="B19" s="10">
        <v>930</v>
      </c>
      <c r="C19" s="10">
        <v>1045</v>
      </c>
      <c r="D19" s="26">
        <v>0.1236559139784946</v>
      </c>
      <c r="E19" s="10">
        <v>1800.1558082103729</v>
      </c>
      <c r="F19" s="12">
        <v>3095166</v>
      </c>
      <c r="G19" s="10">
        <v>1079</v>
      </c>
      <c r="H19" s="26">
        <v>0.16021505376344092</v>
      </c>
      <c r="I19" s="10">
        <v>1800.0594863891599</v>
      </c>
      <c r="J19" s="12">
        <v>8016870</v>
      </c>
      <c r="L19" s="23" t="s">
        <v>41</v>
      </c>
      <c r="M19" s="19">
        <f>MAX(D17:D26)</f>
        <v>0.63959117805271648</v>
      </c>
      <c r="N19" s="19">
        <f>MAX(H17:H26)</f>
        <v>0.66057019903173753</v>
      </c>
    </row>
    <row r="20" spans="1:14" x14ac:dyDescent="0.25">
      <c r="A20" s="5" t="s">
        <v>45</v>
      </c>
      <c r="B20" s="10">
        <v>1165</v>
      </c>
      <c r="C20" s="10">
        <v>1461</v>
      </c>
      <c r="D20" s="26">
        <v>0.25407725321888408</v>
      </c>
      <c r="E20" s="10">
        <v>1800.0443844795229</v>
      </c>
      <c r="F20" s="12">
        <v>2163124</v>
      </c>
      <c r="G20" s="10">
        <v>1455</v>
      </c>
      <c r="H20" s="26">
        <v>0.24892703862660942</v>
      </c>
      <c r="I20" s="10">
        <v>1800.535875797272</v>
      </c>
      <c r="J20" s="12">
        <v>6124009</v>
      </c>
      <c r="L20" s="23" t="s">
        <v>5</v>
      </c>
      <c r="M20" s="20">
        <v>1653.206357860565</v>
      </c>
      <c r="N20" s="20">
        <v>1800.2208737134929</v>
      </c>
    </row>
    <row r="21" spans="1:14" x14ac:dyDescent="0.25">
      <c r="A21" s="5" t="s">
        <v>46</v>
      </c>
      <c r="B21" s="10">
        <v>890</v>
      </c>
      <c r="C21" s="10">
        <v>890</v>
      </c>
      <c r="D21" s="26">
        <v>0</v>
      </c>
      <c r="E21" s="10">
        <v>1800.2423512935641</v>
      </c>
      <c r="F21" s="12">
        <v>4627423</v>
      </c>
      <c r="G21" s="10">
        <v>944</v>
      </c>
      <c r="H21" s="26">
        <v>6.0674157303370786E-2</v>
      </c>
      <c r="I21" s="10">
        <v>1800.141385316849</v>
      </c>
      <c r="J21" s="12">
        <v>9566314</v>
      </c>
      <c r="L21" s="23" t="s">
        <v>10</v>
      </c>
      <c r="M21" s="21">
        <v>2113505</v>
      </c>
      <c r="N21" s="21">
        <v>5881078</v>
      </c>
    </row>
    <row r="22" spans="1:14" x14ac:dyDescent="0.25">
      <c r="A22" s="5" t="s">
        <v>47</v>
      </c>
      <c r="B22" s="10">
        <v>1046</v>
      </c>
      <c r="C22" s="10">
        <v>1290</v>
      </c>
      <c r="D22" s="26">
        <v>0.23326959847036333</v>
      </c>
      <c r="E22" s="10">
        <v>1800.073643684387</v>
      </c>
      <c r="F22" s="12">
        <v>2172833</v>
      </c>
      <c r="G22" s="10">
        <v>1299</v>
      </c>
      <c r="H22" s="26">
        <v>0.2418738049713193</v>
      </c>
      <c r="I22" s="10">
        <v>1800.1888403892519</v>
      </c>
      <c r="J22" s="12">
        <v>4550779</v>
      </c>
    </row>
    <row r="23" spans="1:14" x14ac:dyDescent="0.25">
      <c r="A23" s="5" t="s">
        <v>48</v>
      </c>
      <c r="B23" s="10">
        <v>1218</v>
      </c>
      <c r="C23" s="10">
        <v>1529</v>
      </c>
      <c r="D23" s="26">
        <v>0.25533661740558289</v>
      </c>
      <c r="E23" s="10">
        <v>1800.0673146247859</v>
      </c>
      <c r="F23" s="12">
        <v>1445626</v>
      </c>
      <c r="G23" s="10">
        <v>1435</v>
      </c>
      <c r="H23" s="26">
        <v>0.17816091954022992</v>
      </c>
      <c r="I23" s="10">
        <v>1800.128555059433</v>
      </c>
      <c r="J23" s="12">
        <v>3025529</v>
      </c>
      <c r="M23"/>
      <c r="N23"/>
    </row>
    <row r="24" spans="1:14" x14ac:dyDescent="0.25">
      <c r="A24" s="5" t="s">
        <v>49</v>
      </c>
      <c r="B24" s="10">
        <v>1231</v>
      </c>
      <c r="C24" s="10">
        <v>1656</v>
      </c>
      <c r="D24" s="26">
        <v>0.34524776604386676</v>
      </c>
      <c r="E24" s="10">
        <v>1800.096935272217</v>
      </c>
      <c r="F24" s="12">
        <v>1822030</v>
      </c>
      <c r="G24" s="10">
        <v>1662</v>
      </c>
      <c r="H24" s="26">
        <v>0.35012185215272135</v>
      </c>
      <c r="I24" s="10">
        <v>1800.207242250443</v>
      </c>
      <c r="J24" s="12">
        <v>3529664</v>
      </c>
    </row>
    <row r="25" spans="1:14" x14ac:dyDescent="0.25">
      <c r="A25" s="5" t="s">
        <v>50</v>
      </c>
      <c r="B25" s="10">
        <v>1318</v>
      </c>
      <c r="C25" s="10">
        <v>1745</v>
      </c>
      <c r="D25" s="26">
        <v>0.32397572078907433</v>
      </c>
      <c r="E25" s="10">
        <v>1800.0766687393191</v>
      </c>
      <c r="F25" s="12">
        <v>1189311</v>
      </c>
      <c r="G25" s="10">
        <v>1879</v>
      </c>
      <c r="H25" s="26">
        <v>0.42564491654021253</v>
      </c>
      <c r="I25" s="10">
        <v>1800.235447883606</v>
      </c>
      <c r="J25" s="12">
        <v>2130650</v>
      </c>
    </row>
    <row r="26" spans="1:14" x14ac:dyDescent="0.25">
      <c r="A26" s="5" t="s">
        <v>51</v>
      </c>
      <c r="B26" s="10">
        <v>1859</v>
      </c>
      <c r="C26" s="10">
        <v>3048</v>
      </c>
      <c r="D26" s="26">
        <v>0.63959117805271648</v>
      </c>
      <c r="E26" s="10">
        <v>1800.182158470154</v>
      </c>
      <c r="F26" s="12">
        <v>413972</v>
      </c>
      <c r="G26" s="10">
        <v>3087</v>
      </c>
      <c r="H26" s="26">
        <v>0.66057019903173753</v>
      </c>
      <c r="I26" s="10">
        <v>1800.512993574142</v>
      </c>
      <c r="J26" s="12">
        <v>844738</v>
      </c>
    </row>
  </sheetData>
  <mergeCells count="4">
    <mergeCell ref="C1:F1"/>
    <mergeCell ref="G1:J1"/>
    <mergeCell ref="C15:F15"/>
    <mergeCell ref="G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85" zoomScaleNormal="85" workbookViewId="0">
      <selection activeCell="G3" sqref="G3"/>
    </sheetView>
  </sheetViews>
  <sheetFormatPr defaultRowHeight="13.8" x14ac:dyDescent="0.25"/>
  <cols>
    <col min="1" max="1" width="12.5" style="1" bestFit="1" customWidth="1"/>
    <col min="2" max="2" width="25.59765625" style="1" bestFit="1" customWidth="1"/>
    <col min="3" max="3" width="17.8984375" style="1" bestFit="1" customWidth="1"/>
    <col min="4" max="4" width="16.69921875" style="1" bestFit="1" customWidth="1"/>
    <col min="5" max="5" width="12.59765625" style="1" bestFit="1" customWidth="1"/>
    <col min="6" max="6" width="11.09765625" style="1" bestFit="1" customWidth="1"/>
    <col min="7" max="7" width="42.59765625" style="1" bestFit="1" customWidth="1"/>
    <col min="8" max="8" width="33" style="1" bestFit="1" customWidth="1"/>
    <col min="9" max="9" width="26.8984375" style="1" bestFit="1" customWidth="1"/>
    <col min="10" max="10" width="41" style="1" bestFit="1" customWidth="1"/>
    <col min="11" max="16384" width="8.796875" style="1"/>
  </cols>
  <sheetData>
    <row r="1" spans="1:6" x14ac:dyDescent="0.25">
      <c r="C1" s="2" t="s">
        <v>8</v>
      </c>
      <c r="D1" s="2"/>
      <c r="E1" s="3" t="s">
        <v>9</v>
      </c>
      <c r="F1" s="3"/>
    </row>
    <row r="2" spans="1:6" s="4" customFormat="1" x14ac:dyDescent="0.25">
      <c r="B2" s="31" t="s">
        <v>20</v>
      </c>
      <c r="C2" s="5" t="s">
        <v>1</v>
      </c>
      <c r="D2" s="6" t="s">
        <v>2</v>
      </c>
      <c r="E2" s="5" t="s">
        <v>1</v>
      </c>
      <c r="F2" s="5" t="s">
        <v>2</v>
      </c>
    </row>
    <row r="3" spans="1:6" s="4" customFormat="1" x14ac:dyDescent="0.25">
      <c r="B3" s="32" t="s">
        <v>0</v>
      </c>
      <c r="C3" s="5">
        <v>20</v>
      </c>
      <c r="D3" s="6">
        <v>20</v>
      </c>
      <c r="E3" s="5">
        <v>20</v>
      </c>
      <c r="F3" s="5">
        <v>20</v>
      </c>
    </row>
    <row r="4" spans="1:6" s="4" customFormat="1" x14ac:dyDescent="0.25">
      <c r="A4" s="7" t="s">
        <v>3</v>
      </c>
      <c r="B4" s="31" t="s">
        <v>4</v>
      </c>
      <c r="C4" s="8">
        <v>0</v>
      </c>
      <c r="D4" s="9">
        <v>0</v>
      </c>
      <c r="E4" s="8">
        <v>0</v>
      </c>
      <c r="F4" s="8">
        <v>0</v>
      </c>
    </row>
    <row r="5" spans="1:6" s="4" customFormat="1" x14ac:dyDescent="0.25">
      <c r="A5" s="7"/>
      <c r="B5" s="31" t="s">
        <v>5</v>
      </c>
      <c r="C5" s="10">
        <v>1865.865828335285</v>
      </c>
      <c r="D5" s="11">
        <v>1809.593893909454</v>
      </c>
      <c r="E5" s="10">
        <v>1.8816224217414861</v>
      </c>
      <c r="F5" s="10">
        <v>9.1287382960319512</v>
      </c>
    </row>
    <row r="6" spans="1:6" s="4" customFormat="1" x14ac:dyDescent="0.25">
      <c r="A6" s="7"/>
      <c r="B6" s="31" t="s">
        <v>6</v>
      </c>
      <c r="C6" s="5" t="b">
        <v>0</v>
      </c>
      <c r="D6" s="6" t="b">
        <v>0</v>
      </c>
      <c r="E6" s="5" t="b">
        <v>1</v>
      </c>
      <c r="F6" s="5" t="b">
        <v>1</v>
      </c>
    </row>
    <row r="7" spans="1:6" s="4" customFormat="1" x14ac:dyDescent="0.25">
      <c r="A7" s="7"/>
      <c r="B7" s="31" t="s">
        <v>10</v>
      </c>
      <c r="C7" s="12">
        <v>2707314</v>
      </c>
      <c r="D7" s="13">
        <v>256051</v>
      </c>
      <c r="E7" s="12">
        <v>4844</v>
      </c>
      <c r="F7" s="12">
        <v>22942</v>
      </c>
    </row>
    <row r="8" spans="1:6" s="4" customFormat="1" x14ac:dyDescent="0.25">
      <c r="A8" s="7" t="s">
        <v>7</v>
      </c>
      <c r="B8" s="31" t="s">
        <v>4</v>
      </c>
      <c r="C8" s="8">
        <v>0</v>
      </c>
      <c r="D8" s="14">
        <v>4.1000000000000002E-2</v>
      </c>
      <c r="E8" s="8">
        <v>0</v>
      </c>
      <c r="F8" s="8">
        <v>0</v>
      </c>
    </row>
    <row r="9" spans="1:6" s="4" customFormat="1" x14ac:dyDescent="0.25">
      <c r="A9" s="7"/>
      <c r="B9" s="31" t="s">
        <v>5</v>
      </c>
      <c r="C9" s="15">
        <v>200.80152074098589</v>
      </c>
      <c r="D9" s="16">
        <v>1801.404911887646</v>
      </c>
      <c r="E9" s="15">
        <v>0.20637879371643059</v>
      </c>
      <c r="F9" s="15">
        <v>2.8335659146308898</v>
      </c>
    </row>
    <row r="10" spans="1:6" s="4" customFormat="1" x14ac:dyDescent="0.25">
      <c r="A10" s="7"/>
      <c r="B10" s="31" t="s">
        <v>6</v>
      </c>
      <c r="C10" s="5" t="b">
        <v>1</v>
      </c>
      <c r="D10" s="6" t="b">
        <v>0</v>
      </c>
      <c r="E10" s="5" t="b">
        <v>1</v>
      </c>
      <c r="F10" s="5" t="b">
        <v>1</v>
      </c>
    </row>
    <row r="11" spans="1:6" s="4" customFormat="1" x14ac:dyDescent="0.25">
      <c r="A11" s="7"/>
      <c r="B11" s="31" t="s">
        <v>10</v>
      </c>
      <c r="C11" s="12">
        <v>3675388</v>
      </c>
      <c r="D11" s="13">
        <v>7392265</v>
      </c>
      <c r="E11" s="12">
        <v>3763</v>
      </c>
      <c r="F11" s="12">
        <v>21495</v>
      </c>
    </row>
    <row r="13" spans="1:6" x14ac:dyDescent="0.25">
      <c r="C13" s="2" t="s">
        <v>13</v>
      </c>
      <c r="D13" s="2"/>
      <c r="E13" s="3" t="s">
        <v>14</v>
      </c>
      <c r="F13" s="3"/>
    </row>
    <row r="14" spans="1:6" x14ac:dyDescent="0.25">
      <c r="A14" s="4"/>
      <c r="B14" s="31" t="s">
        <v>20</v>
      </c>
      <c r="C14" s="5" t="s">
        <v>11</v>
      </c>
      <c r="D14" s="5" t="s">
        <v>12</v>
      </c>
      <c r="E14" s="17" t="s">
        <v>15</v>
      </c>
      <c r="F14" s="17" t="s">
        <v>16</v>
      </c>
    </row>
    <row r="15" spans="1:6" x14ac:dyDescent="0.25">
      <c r="A15" s="4"/>
      <c r="B15" s="32" t="s">
        <v>0</v>
      </c>
      <c r="C15" s="5">
        <v>5</v>
      </c>
      <c r="D15" s="5">
        <v>5</v>
      </c>
      <c r="E15" s="5">
        <v>5</v>
      </c>
      <c r="F15" s="5">
        <v>5</v>
      </c>
    </row>
    <row r="16" spans="1:6" x14ac:dyDescent="0.25">
      <c r="A16" s="7" t="s">
        <v>3</v>
      </c>
      <c r="B16" s="31" t="s">
        <v>4</v>
      </c>
      <c r="C16" s="18">
        <v>0.1046</v>
      </c>
      <c r="D16" s="18">
        <v>0.1198</v>
      </c>
      <c r="E16" s="18">
        <v>0.64770000000000005</v>
      </c>
      <c r="F16" s="18">
        <v>1.1105</v>
      </c>
    </row>
    <row r="17" spans="1:6" x14ac:dyDescent="0.25">
      <c r="A17" s="7"/>
      <c r="B17" s="31" t="s">
        <v>5</v>
      </c>
      <c r="C17" s="10">
        <v>1831.7363026618959</v>
      </c>
      <c r="D17" s="10">
        <v>1816.3357105255129</v>
      </c>
      <c r="E17" s="10">
        <v>1853.9333987236021</v>
      </c>
      <c r="F17" s="10">
        <v>1887.06732006073</v>
      </c>
    </row>
    <row r="18" spans="1:6" x14ac:dyDescent="0.25">
      <c r="A18" s="7"/>
      <c r="B18" s="31" t="s">
        <v>6</v>
      </c>
      <c r="C18" s="5" t="b">
        <v>0</v>
      </c>
      <c r="D18" s="5" t="b">
        <v>0</v>
      </c>
      <c r="E18" s="5" t="b">
        <v>0</v>
      </c>
      <c r="F18" s="5" t="b">
        <v>0</v>
      </c>
    </row>
    <row r="19" spans="1:6" x14ac:dyDescent="0.25">
      <c r="A19" s="7"/>
      <c r="B19" s="31" t="s">
        <v>10</v>
      </c>
      <c r="C19" s="12">
        <v>570644</v>
      </c>
      <c r="D19" s="12">
        <v>105397</v>
      </c>
      <c r="E19" s="12">
        <v>392017</v>
      </c>
      <c r="F19" s="12">
        <v>113560</v>
      </c>
    </row>
    <row r="20" spans="1:6" x14ac:dyDescent="0.25">
      <c r="A20" s="7" t="s">
        <v>7</v>
      </c>
      <c r="B20" s="31" t="s">
        <v>4</v>
      </c>
      <c r="C20" s="18">
        <v>9.98E-2</v>
      </c>
      <c r="D20" s="18">
        <v>9.9099999999999994E-2</v>
      </c>
      <c r="E20" s="18">
        <v>0.53800000000000003</v>
      </c>
      <c r="F20" s="18">
        <v>0.57509999999999994</v>
      </c>
    </row>
    <row r="21" spans="1:6" x14ac:dyDescent="0.25">
      <c r="A21" s="7"/>
      <c r="B21" s="31" t="s">
        <v>5</v>
      </c>
      <c r="C21" s="10">
        <v>1800.5668387889859</v>
      </c>
      <c r="D21" s="10">
        <v>1800.047627782822</v>
      </c>
      <c r="E21" s="10">
        <v>1800.1014230728149</v>
      </c>
      <c r="F21" s="10">
        <v>1800.0481746196749</v>
      </c>
    </row>
    <row r="22" spans="1:6" x14ac:dyDescent="0.25">
      <c r="A22" s="7"/>
      <c r="B22" s="31" t="s">
        <v>6</v>
      </c>
      <c r="C22" s="5" t="b">
        <v>0</v>
      </c>
      <c r="D22" s="5" t="b">
        <v>0</v>
      </c>
      <c r="E22" s="5" t="b">
        <v>0</v>
      </c>
      <c r="F22" s="5" t="b">
        <v>0</v>
      </c>
    </row>
    <row r="23" spans="1:6" x14ac:dyDescent="0.25">
      <c r="A23" s="7"/>
      <c r="B23" s="31" t="s">
        <v>10</v>
      </c>
      <c r="C23" s="12">
        <v>3591984</v>
      </c>
      <c r="D23" s="12">
        <v>658621</v>
      </c>
      <c r="E23" s="12">
        <v>2023650</v>
      </c>
      <c r="F23" s="12">
        <v>647243</v>
      </c>
    </row>
    <row r="26" spans="1:6" x14ac:dyDescent="0.25">
      <c r="C26" s="2" t="s">
        <v>17</v>
      </c>
      <c r="D26" s="2"/>
    </row>
    <row r="27" spans="1:6" x14ac:dyDescent="0.25">
      <c r="A27" s="4"/>
      <c r="B27" s="31" t="s">
        <v>20</v>
      </c>
      <c r="C27" s="17" t="s">
        <v>18</v>
      </c>
      <c r="D27" s="17" t="s">
        <v>19</v>
      </c>
    </row>
    <row r="28" spans="1:6" x14ac:dyDescent="0.25">
      <c r="A28" s="4"/>
      <c r="B28" s="32" t="s">
        <v>0</v>
      </c>
      <c r="C28" s="17">
        <v>5</v>
      </c>
      <c r="D28" s="17">
        <v>5</v>
      </c>
    </row>
    <row r="29" spans="1:6" x14ac:dyDescent="0.25">
      <c r="A29" s="7" t="s">
        <v>3</v>
      </c>
      <c r="B29" s="31" t="s">
        <v>4</v>
      </c>
      <c r="C29" s="19">
        <v>1.1496</v>
      </c>
      <c r="D29" s="19">
        <v>3.6764999999999999</v>
      </c>
    </row>
    <row r="30" spans="1:6" x14ac:dyDescent="0.25">
      <c r="A30" s="7"/>
      <c r="B30" s="31" t="s">
        <v>5</v>
      </c>
      <c r="C30" s="20">
        <v>1829.7833446502691</v>
      </c>
      <c r="D30" s="20">
        <v>1851.961458110809</v>
      </c>
    </row>
    <row r="31" spans="1:6" x14ac:dyDescent="0.25">
      <c r="A31" s="7"/>
      <c r="B31" s="31" t="s">
        <v>6</v>
      </c>
      <c r="C31" s="17" t="b">
        <v>0</v>
      </c>
      <c r="D31" s="17" t="b">
        <v>0</v>
      </c>
    </row>
    <row r="32" spans="1:6" x14ac:dyDescent="0.25">
      <c r="A32" s="7"/>
      <c r="B32" s="31" t="s">
        <v>10</v>
      </c>
      <c r="C32" s="21">
        <v>1136386</v>
      </c>
      <c r="D32" s="21">
        <v>628365</v>
      </c>
    </row>
    <row r="33" spans="1:4" x14ac:dyDescent="0.25">
      <c r="A33" s="7" t="s">
        <v>7</v>
      </c>
      <c r="B33" s="31" t="s">
        <v>4</v>
      </c>
      <c r="C33" s="19">
        <v>8.0199999999999994E-2</v>
      </c>
      <c r="D33" s="19">
        <v>0.36359999999999998</v>
      </c>
    </row>
    <row r="34" spans="1:4" x14ac:dyDescent="0.25">
      <c r="A34" s="7"/>
      <c r="B34" s="31" t="s">
        <v>5</v>
      </c>
      <c r="C34" s="20">
        <v>1506.3192234039309</v>
      </c>
      <c r="D34" s="20">
        <v>1800.0934923171999</v>
      </c>
    </row>
    <row r="35" spans="1:4" x14ac:dyDescent="0.25">
      <c r="A35" s="7"/>
      <c r="B35" s="31" t="s">
        <v>6</v>
      </c>
      <c r="C35" s="17"/>
      <c r="D35" s="17" t="b">
        <v>0</v>
      </c>
    </row>
    <row r="36" spans="1:4" x14ac:dyDescent="0.25">
      <c r="A36" s="7"/>
      <c r="B36" s="31" t="s">
        <v>10</v>
      </c>
      <c r="C36" s="21">
        <v>2820197</v>
      </c>
      <c r="D36" s="21">
        <v>1406813</v>
      </c>
    </row>
  </sheetData>
  <mergeCells count="11">
    <mergeCell ref="A4:A7"/>
    <mergeCell ref="A8:A11"/>
    <mergeCell ref="C1:D1"/>
    <mergeCell ref="E1:F1"/>
    <mergeCell ref="A16:A19"/>
    <mergeCell ref="A20:A23"/>
    <mergeCell ref="C13:D13"/>
    <mergeCell ref="E13:F13"/>
    <mergeCell ref="A29:A32"/>
    <mergeCell ref="A33:A36"/>
    <mergeCell ref="C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Modeling improvement</vt:lpstr>
      <vt:lpstr>Search heuristic improvement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NGUYỄN PHẠM QUÝ DƯƠNG</cp:lastModifiedBy>
  <dcterms:created xsi:type="dcterms:W3CDTF">2015-06-05T18:17:20Z</dcterms:created>
  <dcterms:modified xsi:type="dcterms:W3CDTF">2026-01-08T04:41:08Z</dcterms:modified>
</cp:coreProperties>
</file>